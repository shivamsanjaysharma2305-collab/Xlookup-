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8_{22FC2B64-9BF8-4458-8D47-6562655C0A85}" xr6:coauthVersionLast="47" xr6:coauthVersionMax="47" xr10:uidLastSave="{00000000-0000-0000-0000-000000000000}"/>
  <bookViews>
    <workbookView xWindow="-108" yWindow="-108" windowWidth="23256" windowHeight="12456" activeTab="1" xr2:uid="{C9E77B9C-5370-449F-834F-F0903FEFFD21}"/>
  </bookViews>
  <sheets>
    <sheet name="Employe_Master" sheetId="1" r:id="rId1"/>
    <sheet name="Performance_Review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I7" i="2" a="1"/>
  <c r="I7" i="2" s="1"/>
  <c r="F3" i="1"/>
  <c r="F4" i="1"/>
  <c r="F5" i="1"/>
  <c r="F6" i="1"/>
  <c r="F7" i="1"/>
  <c r="F2" i="1"/>
  <c r="I4" i="2"/>
  <c r="G3" i="2"/>
  <c r="G4" i="2"/>
  <c r="G5" i="2"/>
  <c r="G6" i="2"/>
  <c r="G7" i="2"/>
  <c r="G2" i="2"/>
  <c r="E3" i="2"/>
  <c r="E4" i="2"/>
  <c r="E5" i="2"/>
  <c r="E7" i="2"/>
  <c r="E2" i="2"/>
  <c r="D3" i="2"/>
  <c r="D4" i="2"/>
  <c r="D5" i="2"/>
  <c r="D6" i="2"/>
  <c r="D7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<sst xmlns="http://schemas.openxmlformats.org/spreadsheetml/2006/main" count="45" uniqueCount="38">
  <si>
    <t>EmpID</t>
  </si>
  <si>
    <t>First Name</t>
  </si>
  <si>
    <t>Last Name</t>
  </si>
  <si>
    <t>Department</t>
  </si>
  <si>
    <t>Annual Salary</t>
  </si>
  <si>
    <t>E001</t>
  </si>
  <si>
    <t>Sarah</t>
  </si>
  <si>
    <t>Connor</t>
  </si>
  <si>
    <t>IT</t>
  </si>
  <si>
    <t>E002</t>
  </si>
  <si>
    <t>John</t>
  </si>
  <si>
    <t>Smith</t>
  </si>
  <si>
    <t>Sales</t>
  </si>
  <si>
    <t>E003</t>
  </si>
  <si>
    <t>Emily</t>
  </si>
  <si>
    <t>Blunt</t>
  </si>
  <si>
    <t>HR</t>
  </si>
  <si>
    <t>E004</t>
  </si>
  <si>
    <t>Michael</t>
  </si>
  <si>
    <t>Scott</t>
  </si>
  <si>
    <t>Management</t>
  </si>
  <si>
    <t>E005</t>
  </si>
  <si>
    <t>Diana</t>
  </si>
  <si>
    <t>Prince</t>
  </si>
  <si>
    <t>E006</t>
  </si>
  <si>
    <t>Clark</t>
  </si>
  <si>
    <t>Kent</t>
  </si>
  <si>
    <t>Journalism</t>
  </si>
  <si>
    <t>ReviewID</t>
  </si>
  <si>
    <t>Rating (1-5)</t>
  </si>
  <si>
    <t>Department (Task 1)</t>
  </si>
  <si>
    <t>Annual Salary (Task 3)</t>
  </si>
  <si>
    <t>Bonus Multiplier</t>
  </si>
  <si>
    <t>Computed Bonus (Task 4)</t>
  </si>
  <si>
    <t>E999</t>
  </si>
  <si>
    <t>left Lookup (Find EmpID using Last Name)</t>
  </si>
  <si>
    <t>Review status</t>
  </si>
  <si>
    <t>look up EmpID E004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</si>
</sst>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loyee_Mast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_Master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9124C-5878-4BED-9C95-38EC34B72F8C}" name="Table1" displayName="Table1" ref="A1:F7" totalsRowShown="0">
  <autoFilter ref="A1:F7" xr:uid="{99F9124C-5878-4BED-9C95-38EC34B72F8C}"/>
  <tableColumns count="6">
    <tableColumn id="1" xr3:uid="{82E44A80-03AB-4C6A-B798-85CEF3F6445E}" name="EmpID"/>
    <tableColumn id="2" xr3:uid="{72569637-DCE8-4C81-AFE0-D882A9EBEE6D}" name="First Name"/>
    <tableColumn id="3" xr3:uid="{C916BE35-B290-40F1-A2DE-6038DB67E688}" name="Last Name"/>
    <tableColumn id="4" xr3:uid="{3FB283F3-1498-467A-BC66-2EB3DA5D2DC1}" name="Department"/>
    <tableColumn id="5" xr3:uid="{DBBBA867-17FF-4046-A7E2-D558588BD673}" name="Annual Salary" dataDxfId="0"/>
    <tableColumn id="6" xr3:uid="{42E92EC7-6BAD-4459-AF9F-330D548EFFB4}" name="Review status">
      <calculatedColumnFormula>_xlfn.XLOOKUP(A2,Performance_Review!$B$1:$B$7,Performance_Review!$B$1:$B$7,"Not Reviewed",0)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50493-266C-4ED1-8442-274F836B5D20}" name="Table2" displayName="Table2" ref="A1:G7" totalsRowShown="0">
  <autoFilter ref="A1:G7" xr:uid="{D6A50493-266C-4ED1-8442-274F836B5D20}"/>
  <tableColumns count="7">
    <tableColumn id="1" xr3:uid="{C95D6D45-DF4A-41F0-91EC-9D47F70C2530}" name="ReviewID"/>
    <tableColumn id="2" xr3:uid="{334A34B8-4468-428C-968E-2DB1A0C5060E}" name="EmpID"/>
    <tableColumn id="3" xr3:uid="{0C6A5E09-E5A4-4304-8839-1895FE466BD1}" name="Rating (1-5)"/>
    <tableColumn id="4" xr3:uid="{B4D74F53-8A17-4238-95FA-B2143DD687D7}" name="Department (Task 1)">
      <calculatedColumnFormula>_xlfn.XLOOKUP(B2,Employe_Master!$A$1:$A$7,Employe_Master!$D$1:$D$7,"contractor",0,1)</calculatedColumnFormula>
    </tableColumn>
    <tableColumn id="5" xr3:uid="{0D4DDB89-C3C8-49B2-99D6-6982085A03ED}" name="Annual Salary (Task 3)">
      <calculatedColumnFormula>_xlfn.XLOOKUP(B2,Employe_Master!$A$1:$A$7,Employe_Master!$E$1:$E$7,"contractor",0)</calculatedColumnFormula>
    </tableColumn>
    <tableColumn id="6" xr3:uid="{57BDB9AB-5999-41FF-B684-36C4DB4CD0B7}" name="Bonus Multiplier"/>
    <tableColumn id="7" xr3:uid="{60339DCB-CFE3-4D52-86F8-0549C784F254}" name="Computed Bonus (Task 4)">
      <calculatedColumnFormula>_xlfn.XLOOKUP(B2,Employe_Master!$A$1:$A$7,Employe_Master!$E$1:$E$7,0)*F2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4D9A-B805-486D-A11F-0BB368804471}">
  <dimension ref="A1:F7"/>
  <sheetViews>
    <sheetView workbookViewId="0">
      <selection activeCell="I13" sqref="I13"/>
    </sheetView>
  </sheetViews>
  <sheetFormatPr defaultRowHeight="14.4" x14ac:dyDescent="0.3"/>
  <cols>
    <col min="2" max="2" width="11.77734375" customWidth="1"/>
    <col min="3" max="3" width="11.6640625" customWidth="1"/>
    <col min="4" max="4" width="13" customWidth="1"/>
    <col min="5" max="5" width="14.44140625" customWidth="1"/>
    <col min="6" max="6" width="1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s="1">
        <v>85000</v>
      </c>
      <c r="F2" t="str">
        <f>_xlfn.XLOOKUP(A2,Performance_Review!$B$1:$B$7,Performance_Review!$B$1:$B$7,"Not Reviewed",0)</f>
        <v>E001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 s="1">
        <v>62000</v>
      </c>
      <c r="F3" t="str">
        <f>_xlfn.XLOOKUP(A3,Performance_Review!$B$1:$B$7,Performance_Review!$B$1:$B$7,"Not Reviewed",0)</f>
        <v>E002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s="1">
        <v>58000</v>
      </c>
      <c r="F4" t="str">
        <f>_xlfn.XLOOKUP(A4,Performance_Review!$B$1:$B$7,Performance_Review!$B$1:$B$7,"Not Reviewed",0)</f>
        <v>E003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s="1">
        <v>95000</v>
      </c>
      <c r="F5" t="str">
        <f>_xlfn.XLOOKUP(A5,Performance_Review!$B$1:$B$7,Performance_Review!$B$1:$B$7,"Not Reviewed",0)</f>
        <v>E004</v>
      </c>
    </row>
    <row r="6" spans="1:6" x14ac:dyDescent="0.3">
      <c r="A6" t="s">
        <v>21</v>
      </c>
      <c r="B6" t="s">
        <v>22</v>
      </c>
      <c r="C6" t="s">
        <v>23</v>
      </c>
      <c r="D6" t="s">
        <v>8</v>
      </c>
      <c r="E6" s="1">
        <v>88000</v>
      </c>
      <c r="F6" t="str">
        <f>_xlfn.XLOOKUP(A6,Performance_Review!$B$1:$B$7,Performance_Review!$B$1:$B$7,"Not Reviewed",0)</f>
        <v>E005</v>
      </c>
    </row>
    <row r="7" spans="1:6" x14ac:dyDescent="0.3">
      <c r="A7" t="s">
        <v>24</v>
      </c>
      <c r="B7" t="s">
        <v>25</v>
      </c>
      <c r="C7" t="s">
        <v>26</v>
      </c>
      <c r="D7" t="s">
        <v>27</v>
      </c>
      <c r="E7" s="1">
        <v>55000</v>
      </c>
      <c r="F7" t="str">
        <f>_xlfn.XLOOKUP(A7,Performance_Review!$B$1:$B$7,Performance_Review!$B$1:$B$7,"Not Reviewed",0)</f>
        <v>Not Reviewed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CECD-A9A8-4FFA-8258-4EC0FBDA427A}">
  <dimension ref="A1:I7"/>
  <sheetViews>
    <sheetView tabSelected="1" workbookViewId="0">
      <selection activeCell="E12" sqref="E12"/>
    </sheetView>
  </sheetViews>
  <sheetFormatPr defaultRowHeight="14.4" x14ac:dyDescent="0.3"/>
  <cols>
    <col min="1" max="1" width="10.6640625" customWidth="1"/>
    <col min="3" max="3" width="12.6640625" customWidth="1"/>
    <col min="4" max="4" width="20" customWidth="1"/>
    <col min="5" max="5" width="25.33203125" customWidth="1"/>
    <col min="6" max="6" width="16.6640625" customWidth="1"/>
    <col min="7" max="7" width="24.44140625" customWidth="1"/>
    <col min="9" max="9" width="36" customWidth="1"/>
  </cols>
  <sheetData>
    <row r="1" spans="1:9" x14ac:dyDescent="0.3">
      <c r="A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9" x14ac:dyDescent="0.3">
      <c r="A2">
        <v>101</v>
      </c>
      <c r="B2" t="s">
        <v>9</v>
      </c>
      <c r="C2">
        <v>4</v>
      </c>
      <c r="D2" t="str">
        <f>_xlfn.XLOOKUP(B2,Employe_Master!$A$1:$A$7,Employe_Master!$D$1:$D$7,"contractor",0,1)</f>
        <v>Sales</v>
      </c>
      <c r="E2">
        <f>_xlfn.XLOOKUP(B2,Employe_Master!$A$1:$A$7,Employe_Master!$E$1:$E$7,"contractor",0)</f>
        <v>62000</v>
      </c>
      <c r="F2">
        <v>1.1000000000000001</v>
      </c>
      <c r="G2">
        <f>_xlfn.XLOOKUP(B2,Employe_Master!$A$1:$A$7,Employe_Master!$E$1:$E$7,0)*F2</f>
        <v>68200</v>
      </c>
    </row>
    <row r="3" spans="1:9" x14ac:dyDescent="0.3">
      <c r="A3">
        <v>102</v>
      </c>
      <c r="B3" t="s">
        <v>21</v>
      </c>
      <c r="C3">
        <v>5</v>
      </c>
      <c r="D3" t="str">
        <f>_xlfn.XLOOKUP(B3,Employe_Master!$A$1:$A$7,Employe_Master!$D$1:$D$7,"contractor",0,1)</f>
        <v>IT</v>
      </c>
      <c r="E3">
        <f>_xlfn.XLOOKUP(B3,Employe_Master!$A$1:$A$7,Employe_Master!$E$1:$E$7,"contractor",0)</f>
        <v>88000</v>
      </c>
      <c r="F3">
        <v>1.1499999999999999</v>
      </c>
      <c r="G3">
        <f>_xlfn.XLOOKUP(B3,Employe_Master!$A$1:$A$7,Employe_Master!$E$1:$E$7,0)*F3</f>
        <v>101199.99999999999</v>
      </c>
      <c r="I3" s="2" t="s">
        <v>35</v>
      </c>
    </row>
    <row r="4" spans="1:9" x14ac:dyDescent="0.3">
      <c r="A4">
        <v>103</v>
      </c>
      <c r="B4" t="s">
        <v>5</v>
      </c>
      <c r="C4">
        <v>3</v>
      </c>
      <c r="D4" t="str">
        <f>_xlfn.XLOOKUP(B4,Employe_Master!$A$1:$A$7,Employe_Master!$D$1:$D$7,"contractor",0,1)</f>
        <v>IT</v>
      </c>
      <c r="E4">
        <f>_xlfn.XLOOKUP(B4,Employe_Master!$A$1:$A$7,Employe_Master!$E$1:$E$7,"contractor",0)</f>
        <v>85000</v>
      </c>
      <c r="F4">
        <v>1.05</v>
      </c>
      <c r="G4">
        <f>_xlfn.XLOOKUP(B4,Employe_Master!$A$1:$A$7,Employe_Master!$E$1:$E$7,0)*F4</f>
        <v>89250</v>
      </c>
      <c r="I4" s="3" t="str">
        <f>_xlfn.XLOOKUP("kent",Employe_Master!C1:C7,Employe_Master!A1:A7)</f>
        <v>E006</v>
      </c>
    </row>
    <row r="5" spans="1:9" x14ac:dyDescent="0.3">
      <c r="A5">
        <v>104</v>
      </c>
      <c r="B5" t="s">
        <v>17</v>
      </c>
      <c r="C5">
        <v>4</v>
      </c>
      <c r="D5" t="str">
        <f>_xlfn.XLOOKUP(B5,Employe_Master!$A$1:$A$7,Employe_Master!$D$1:$D$7,"contractor",0,1)</f>
        <v>Management</v>
      </c>
      <c r="E5">
        <f>_xlfn.XLOOKUP(B5,Employe_Master!$A$1:$A$7,Employe_Master!$E$1:$E$7,"contractor",0)</f>
        <v>95000</v>
      </c>
      <c r="F5">
        <v>1.1000000000000001</v>
      </c>
      <c r="G5">
        <f>_xlfn.XLOOKUP(B5,Employe_Master!$A$1:$A$7,Employe_Master!$E$1:$E$7,0)*F5</f>
        <v>104500.00000000001</v>
      </c>
    </row>
    <row r="6" spans="1:9" x14ac:dyDescent="0.3">
      <c r="A6">
        <v>105</v>
      </c>
      <c r="B6" t="s">
        <v>34</v>
      </c>
      <c r="C6">
        <v>2</v>
      </c>
      <c r="D6" t="str">
        <f>_xlfn.XLOOKUP(B6,Employe_Master!$A$1:$A$7,Employe_Master!$D$1:$D$7,"contractor",0,1)</f>
        <v>contractor</v>
      </c>
      <c r="E6" s="4" t="str">
        <f>_xlfn.XLOOKUP(B6,Employe_Master!$A$1:$A$7,Employe_Master!$E$1:$E$7,"contractor",0)</f>
        <v>contractor</v>
      </c>
      <c r="F6">
        <v>1</v>
      </c>
      <c r="G6">
        <f>_xlfn.XLOOKUP(B6,Employe_Master!$A$1:$A$7,Employe_Master!$E$1:$E$7,0)*F6</f>
        <v>0</v>
      </c>
      <c r="I6" s="2" t="s">
        <v>37</v>
      </c>
    </row>
    <row r="7" spans="1:9" x14ac:dyDescent="0.3">
      <c r="A7">
        <v>106</v>
      </c>
      <c r="B7" t="s">
        <v>13</v>
      </c>
      <c r="C7">
        <v>3</v>
      </c>
      <c r="D7" t="str">
        <f>_xlfn.XLOOKUP(B7,Employe_Master!$A$1:$A$7,Employe_Master!$D$1:$D$7,"contractor",0,1)</f>
        <v>HR</v>
      </c>
      <c r="E7">
        <f>_xlfn.XLOOKUP(B7,Employe_Master!$A$1:$A$7,Employe_Master!$E$1:$E$7,"contractor",0)</f>
        <v>58000</v>
      </c>
      <c r="F7">
        <v>1.05</v>
      </c>
      <c r="G7">
        <f>_xlfn.XLOOKUP(B7,Employe_Master!$A$1:$A$7,Employe_Master!$E$1:$E$7,0)*F7</f>
        <v>60900</v>
      </c>
      <c r="I7" s="3" t="str" cm="1">
        <f t="array" ref="I7">_xlfn.XLOOKUP("E004",[1]Employee_Master!$A$1:$A$7,[1]Employee_Master!$B$1:$C$7,"Not Found",0,1 )</f>
        <v>Not Found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Employe_Master</vt:lpstr>
      <vt:lpstr>Performance_Review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sharma</dc:creator>
  <cp:lastModifiedBy>shivam sharma</cp:lastModifiedBy>
  <dcterms:created xsi:type="dcterms:W3CDTF">2025-12-30T16:31:06Z</dcterms:created>
  <dcterms:modified xsi:type="dcterms:W3CDTF">2026-01-05T10:55:13Z</dcterms:modified>
</cp:coreProperties>
</file>